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EPARTMENT BUDGETING\Development\Budget app\"/>
    </mc:Choice>
  </mc:AlternateContent>
  <xr:revisionPtr revIDLastSave="0" documentId="13_ncr:1_{2C537F36-B49A-4E82-B8E9-EADA05F8D933}" xr6:coauthVersionLast="47" xr6:coauthVersionMax="47" xr10:uidLastSave="{00000000-0000-0000-0000-000000000000}"/>
  <bookViews>
    <workbookView xWindow="-110" yWindow="-110" windowWidth="19420" windowHeight="10300" xr2:uid="{4656983E-C5D9-494F-8147-2787E44B848E}"/>
  </bookViews>
  <sheets>
    <sheet name="CAPEX_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3" i="1" l="1"/>
  <c r="Q13" i="1"/>
  <c r="P13" i="1"/>
  <c r="O13" i="1"/>
  <c r="N13" i="1"/>
  <c r="M13" i="1"/>
  <c r="L13" i="1"/>
  <c r="K13" i="1"/>
  <c r="J13" i="1"/>
  <c r="I13" i="1"/>
  <c r="H13" i="1"/>
  <c r="G13" i="1"/>
  <c r="F13" i="1"/>
  <c r="R9" i="1" l="1"/>
  <c r="R12" i="1"/>
  <c r="F12" i="1"/>
  <c r="Q11" i="1"/>
  <c r="P11" i="1"/>
  <c r="O11" i="1"/>
  <c r="N11" i="1"/>
  <c r="M11" i="1"/>
  <c r="L11" i="1"/>
  <c r="K11" i="1"/>
  <c r="J11" i="1"/>
  <c r="I11" i="1"/>
  <c r="H11" i="1"/>
  <c r="G11" i="1"/>
  <c r="F11" i="1"/>
  <c r="Q10" i="1"/>
  <c r="P10" i="1"/>
  <c r="O10" i="1"/>
  <c r="N10" i="1"/>
  <c r="M10" i="1"/>
  <c r="L10" i="1"/>
  <c r="K10" i="1"/>
  <c r="J10" i="1"/>
  <c r="I10" i="1"/>
  <c r="H10" i="1"/>
  <c r="G10" i="1"/>
  <c r="F10" i="1"/>
  <c r="Q8" i="1"/>
  <c r="P8" i="1"/>
  <c r="O8" i="1"/>
  <c r="N8" i="1"/>
  <c r="M8" i="1"/>
  <c r="L8" i="1"/>
  <c r="K8" i="1"/>
  <c r="J8" i="1"/>
  <c r="I8" i="1"/>
  <c r="H8" i="1"/>
  <c r="G8" i="1"/>
  <c r="F8" i="1"/>
  <c r="Q7" i="1"/>
  <c r="P7" i="1"/>
  <c r="O7" i="1"/>
  <c r="N7" i="1"/>
  <c r="M7" i="1"/>
  <c r="L7" i="1"/>
  <c r="K7" i="1"/>
  <c r="J7" i="1"/>
  <c r="I7" i="1"/>
  <c r="H7" i="1"/>
  <c r="G7" i="1"/>
  <c r="F7" i="1"/>
  <c r="R6" i="1" l="1"/>
  <c r="R5" i="1"/>
  <c r="R4" i="1"/>
  <c r="R3" i="1"/>
  <c r="R2" i="1"/>
</calcChain>
</file>

<file path=xl/sharedStrings.xml><?xml version="1.0" encoding="utf-8"?>
<sst xmlns="http://schemas.openxmlformats.org/spreadsheetml/2006/main" count="73" uniqueCount="48">
  <si>
    <t>Entity</t>
  </si>
  <si>
    <t>Department</t>
  </si>
  <si>
    <t>CAPEX No.</t>
  </si>
  <si>
    <t>CAPEX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</si>
  <si>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</si>
  <si>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</si>
  <si>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</si>
  <si>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</si>
  <si>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</si>
  <si>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</si>
  <si>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</si>
  <si>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</si>
  <si>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</si>
  <si>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</si>
  <si>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</si>
  <si>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</si>
  <si>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YEARTOTAL</t>
  </si>
  <si>
    <t>ACG</t>
  </si>
  <si>
    <t>SECRETARY</t>
  </si>
  <si>
    <t>e-Contract Application</t>
  </si>
  <si>
    <t>HMW</t>
  </si>
  <si>
    <t>SERVICE</t>
  </si>
  <si>
    <t>iPAD Oneflow project</t>
  </si>
  <si>
    <t>G-HR</t>
  </si>
  <si>
    <t>เครื่องปริ๊นบัตรพนักงาน</t>
  </si>
  <si>
    <t>เครื่องทำลายเอกสาร แบบย่อยละเอียด (ข้อมูลPDPA)</t>
  </si>
  <si>
    <t>CAPEX Category</t>
  </si>
  <si>
    <t>งานพัฒนาระบบ</t>
  </si>
  <si>
    <t>อุปกรณ์สำนักงาน</t>
  </si>
  <si>
    <t>IT-SUPPORT</t>
  </si>
  <si>
    <t>คอมพิวเตอร์</t>
  </si>
  <si>
    <t>SECRETARY-ACG-01</t>
  </si>
  <si>
    <t>SERVICE-HMW-01</t>
  </si>
  <si>
    <t>HR-ACG-01</t>
  </si>
  <si>
    <t>HR-ACG-02</t>
  </si>
  <si>
    <t>IT-SUPPORT-HMW-01</t>
  </si>
  <si>
    <t>G-MAINT</t>
  </si>
  <si>
    <t>G-MAINT-HMW-01</t>
  </si>
  <si>
    <t>เครื่องมือช่าง</t>
  </si>
  <si>
    <t>G-MAINT-HMW-02</t>
  </si>
  <si>
    <t>เครื่องตกแต่งและติดตั้งสำนักงาน</t>
  </si>
  <si>
    <t>อาคารและส่วนปรับปรุง</t>
  </si>
  <si>
    <t>CLIK</t>
  </si>
  <si>
    <t>G-MAINT-CLIK-01</t>
  </si>
  <si>
    <t>G-MAINT-CLIK-02</t>
  </si>
  <si>
    <t>G-MAINT-HMW-03</t>
  </si>
  <si>
    <t>G-MAINT-CLIK-03</t>
  </si>
  <si>
    <t>ทาสีอาคาร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</si>
</sst>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43" fontId="2" fillId="2" borderId="0" xfId="1" applyFont="1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0" fontId="0" fillId="0" borderId="0" xfId="0" applyAlignment="1">
      <alignment horizontal="left"/>
    </xf>
    <xf numFmtId="0" fontId="3" fillId="0" borderId="0" xfId="0" applyFont="1"/>
    <xf numFmtId="43" fontId="0" fillId="0" borderId="0" xfId="0" applyNumberFormat="1"/>
    <xf numFmtId="43" fontId="2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7BE2-B287-4417-B5DD-9A1721BBFF0A}">
  <dimension ref="A1:R14"/>
  <sheetViews>
    <sheetView tabSelected="1" zoomScale="70" zoomScaleNormal="70" workbookViewId="0">
      <selection activeCell="D22" sqref="D22"/>
    </sheetView>
  </sheetViews>
  <sheetFormatPr defaultRowHeight="14.5" x14ac:dyDescent="0.35"/>
  <cols>
    <col min="1" max="1" width="7.7265625" bestFit="1" customWidth="1"/>
    <col min="2" max="2" width="14.1796875" bestFit="1" customWidth="1"/>
    <col min="3" max="3" width="18.453125" bestFit="1" customWidth="1"/>
    <col min="4" max="4" width="38.36328125" customWidth="1"/>
    <col min="5" max="5" width="19.54296875" bestFit="1" customWidth="1"/>
    <col min="6" max="7" width="11.26953125" bestFit="1" customWidth="1"/>
    <col min="8" max="9" width="11.1796875" bestFit="1" customWidth="1"/>
    <col min="10" max="10" width="11.26953125" bestFit="1" customWidth="1"/>
    <col min="11" max="12" width="11.1796875" bestFit="1" customWidth="1"/>
    <col min="13" max="13" width="12.81640625" bestFit="1" customWidth="1"/>
    <col min="14" max="14" width="11.1796875" bestFit="1" customWidth="1"/>
    <col min="15" max="16" width="11.26953125" bestFit="1" customWidth="1"/>
    <col min="17" max="17" width="11.1796875" bestFit="1" customWidth="1"/>
    <col min="18" max="18" width="17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35">
      <c r="A2" s="3" t="s">
        <v>17</v>
      </c>
      <c r="B2" s="3" t="s">
        <v>18</v>
      </c>
      <c r="C2" s="5" t="s">
        <v>31</v>
      </c>
      <c r="D2" s="5" t="s">
        <v>19</v>
      </c>
      <c r="E2" t="s">
        <v>27</v>
      </c>
      <c r="O2" s="4">
        <v>50000</v>
      </c>
      <c r="R2" s="4">
        <f>SUM(F2:Q2)</f>
        <v>50000</v>
      </c>
    </row>
    <row r="3" spans="1:18" x14ac:dyDescent="0.35">
      <c r="A3" s="3" t="s">
        <v>20</v>
      </c>
      <c r="B3" s="3" t="s">
        <v>21</v>
      </c>
      <c r="C3" s="5" t="s">
        <v>32</v>
      </c>
      <c r="D3" s="5" t="s">
        <v>22</v>
      </c>
      <c r="E3" s="6" t="s">
        <v>28</v>
      </c>
      <c r="J3" s="4">
        <v>420000</v>
      </c>
      <c r="R3" s="4">
        <f t="shared" ref="R3:R6" si="0">SUM(F3:Q3)</f>
        <v>420000</v>
      </c>
    </row>
    <row r="4" spans="1:18" x14ac:dyDescent="0.35">
      <c r="A4" s="3" t="s">
        <v>17</v>
      </c>
      <c r="B4" s="3" t="s">
        <v>23</v>
      </c>
      <c r="C4" s="5" t="s">
        <v>33</v>
      </c>
      <c r="D4" s="5" t="s">
        <v>24</v>
      </c>
      <c r="E4" s="6" t="s">
        <v>28</v>
      </c>
      <c r="O4" s="4">
        <v>35000</v>
      </c>
      <c r="R4" s="4">
        <f t="shared" si="0"/>
        <v>35000</v>
      </c>
    </row>
    <row r="5" spans="1:18" x14ac:dyDescent="0.35">
      <c r="A5" s="3" t="s">
        <v>17</v>
      </c>
      <c r="B5" s="3" t="s">
        <v>23</v>
      </c>
      <c r="C5" s="5" t="s">
        <v>34</v>
      </c>
      <c r="D5" s="5" t="s">
        <v>25</v>
      </c>
      <c r="E5" s="6" t="s">
        <v>28</v>
      </c>
      <c r="O5" s="4">
        <v>20000</v>
      </c>
      <c r="R5" s="4">
        <f t="shared" si="0"/>
        <v>20000</v>
      </c>
    </row>
    <row r="6" spans="1:18" x14ac:dyDescent="0.35">
      <c r="A6" s="3" t="s">
        <v>20</v>
      </c>
      <c r="B6" s="3" t="s">
        <v>29</v>
      </c>
      <c r="C6" s="5" t="s">
        <v>35</v>
      </c>
      <c r="D6" t="s">
        <v>30</v>
      </c>
      <c r="E6" s="6" t="s">
        <v>30</v>
      </c>
      <c r="G6" s="4">
        <v>233030</v>
      </c>
      <c r="J6" s="4">
        <v>99870</v>
      </c>
      <c r="M6" s="4">
        <v>1333030</v>
      </c>
      <c r="P6" s="4">
        <v>774610</v>
      </c>
      <c r="R6" s="4">
        <f t="shared" si="0"/>
        <v>2440540</v>
      </c>
    </row>
    <row r="7" spans="1:18" x14ac:dyDescent="0.35">
      <c r="A7" s="3" t="s">
        <v>20</v>
      </c>
      <c r="B7" s="3" t="s">
        <v>36</v>
      </c>
      <c r="C7" s="5" t="s">
        <v>37</v>
      </c>
      <c r="D7" s="5" t="s">
        <v>38</v>
      </c>
      <c r="E7" s="6" t="s">
        <v>38</v>
      </c>
      <c r="F7" s="7">
        <f>$R$7/12</f>
        <v>60833.333333333336</v>
      </c>
      <c r="G7" s="7">
        <f t="shared" ref="G7:Q7" si="1">$R$7/12</f>
        <v>60833.333333333336</v>
      </c>
      <c r="H7" s="7">
        <f t="shared" si="1"/>
        <v>60833.333333333336</v>
      </c>
      <c r="I7" s="7">
        <f t="shared" si="1"/>
        <v>60833.333333333336</v>
      </c>
      <c r="J7" s="7">
        <f t="shared" si="1"/>
        <v>60833.333333333336</v>
      </c>
      <c r="K7" s="7">
        <f t="shared" si="1"/>
        <v>60833.333333333336</v>
      </c>
      <c r="L7" s="7">
        <f t="shared" si="1"/>
        <v>60833.333333333336</v>
      </c>
      <c r="M7" s="7">
        <f t="shared" si="1"/>
        <v>60833.333333333336</v>
      </c>
      <c r="N7" s="7">
        <f t="shared" si="1"/>
        <v>60833.333333333336</v>
      </c>
      <c r="O7" s="7">
        <f t="shared" si="1"/>
        <v>60833.333333333336</v>
      </c>
      <c r="P7" s="7">
        <f t="shared" si="1"/>
        <v>60833.333333333336</v>
      </c>
      <c r="Q7" s="7">
        <f t="shared" si="1"/>
        <v>60833.333333333336</v>
      </c>
      <c r="R7" s="4">
        <v>730000</v>
      </c>
    </row>
    <row r="8" spans="1:18" x14ac:dyDescent="0.35">
      <c r="A8" s="3" t="s">
        <v>20</v>
      </c>
      <c r="B8" s="3" t="s">
        <v>36</v>
      </c>
      <c r="C8" s="5" t="s">
        <v>39</v>
      </c>
      <c r="D8" s="5" t="s">
        <v>40</v>
      </c>
      <c r="E8" s="6" t="s">
        <v>41</v>
      </c>
      <c r="F8" s="7">
        <f>$R$8/12</f>
        <v>20833.333333333332</v>
      </c>
      <c r="G8" s="7">
        <f t="shared" ref="G8:Q8" si="2">$R$8/12</f>
        <v>20833.333333333332</v>
      </c>
      <c r="H8" s="7">
        <f t="shared" si="2"/>
        <v>20833.333333333332</v>
      </c>
      <c r="I8" s="7">
        <f t="shared" si="2"/>
        <v>20833.333333333332</v>
      </c>
      <c r="J8" s="7">
        <f t="shared" si="2"/>
        <v>20833.333333333332</v>
      </c>
      <c r="K8" s="7">
        <f t="shared" si="2"/>
        <v>20833.333333333332</v>
      </c>
      <c r="L8" s="7">
        <f t="shared" si="2"/>
        <v>20833.333333333332</v>
      </c>
      <c r="M8" s="7">
        <f t="shared" si="2"/>
        <v>20833.333333333332</v>
      </c>
      <c r="N8" s="7">
        <f t="shared" si="2"/>
        <v>20833.333333333332</v>
      </c>
      <c r="O8" s="7">
        <f t="shared" si="2"/>
        <v>20833.333333333332</v>
      </c>
      <c r="P8" s="7">
        <f t="shared" si="2"/>
        <v>20833.333333333332</v>
      </c>
      <c r="Q8" s="7">
        <f t="shared" si="2"/>
        <v>20833.333333333332</v>
      </c>
      <c r="R8" s="4">
        <v>250000</v>
      </c>
    </row>
    <row r="9" spans="1:18" x14ac:dyDescent="0.35">
      <c r="A9" s="3" t="s">
        <v>20</v>
      </c>
      <c r="B9" s="3" t="s">
        <v>36</v>
      </c>
      <c r="C9" s="5" t="s">
        <v>45</v>
      </c>
      <c r="D9" s="5" t="s">
        <v>47</v>
      </c>
      <c r="E9" s="6" t="s">
        <v>41</v>
      </c>
      <c r="F9" s="7">
        <v>100000</v>
      </c>
      <c r="G9" s="7">
        <v>100000</v>
      </c>
      <c r="H9" s="7">
        <v>70000</v>
      </c>
      <c r="I9" s="7"/>
      <c r="J9" s="7"/>
      <c r="K9" s="7"/>
      <c r="L9" s="7"/>
      <c r="M9" s="7"/>
      <c r="N9" s="7"/>
      <c r="O9" s="7"/>
      <c r="P9" s="7"/>
      <c r="Q9" s="7"/>
      <c r="R9" s="7">
        <f>SUM(F9:Q9)</f>
        <v>270000</v>
      </c>
    </row>
    <row r="10" spans="1:18" x14ac:dyDescent="0.35">
      <c r="A10" s="3" t="s">
        <v>42</v>
      </c>
      <c r="B10" s="3" t="s">
        <v>36</v>
      </c>
      <c r="C10" s="5" t="s">
        <v>43</v>
      </c>
      <c r="D10" s="5" t="s">
        <v>38</v>
      </c>
      <c r="E10" s="6" t="s">
        <v>38</v>
      </c>
      <c r="F10" s="7">
        <f>$R$10/12</f>
        <v>21166.666666666668</v>
      </c>
      <c r="G10" s="7">
        <f t="shared" ref="G10:Q10" si="3">$R$10/12</f>
        <v>21166.666666666668</v>
      </c>
      <c r="H10" s="7">
        <f t="shared" si="3"/>
        <v>21166.666666666668</v>
      </c>
      <c r="I10" s="7">
        <f t="shared" si="3"/>
        <v>21166.666666666668</v>
      </c>
      <c r="J10" s="7">
        <f t="shared" si="3"/>
        <v>21166.666666666668</v>
      </c>
      <c r="K10" s="7">
        <f t="shared" si="3"/>
        <v>21166.666666666668</v>
      </c>
      <c r="L10" s="7">
        <f t="shared" si="3"/>
        <v>21166.666666666668</v>
      </c>
      <c r="M10" s="7">
        <f t="shared" si="3"/>
        <v>21166.666666666668</v>
      </c>
      <c r="N10" s="7">
        <f t="shared" si="3"/>
        <v>21166.666666666668</v>
      </c>
      <c r="O10" s="7">
        <f t="shared" si="3"/>
        <v>21166.666666666668</v>
      </c>
      <c r="P10" s="7">
        <f t="shared" si="3"/>
        <v>21166.666666666668</v>
      </c>
      <c r="Q10" s="7">
        <f t="shared" si="3"/>
        <v>21166.666666666668</v>
      </c>
      <c r="R10" s="4">
        <v>254000</v>
      </c>
    </row>
    <row r="11" spans="1:18" x14ac:dyDescent="0.35">
      <c r="A11" s="3" t="s">
        <v>42</v>
      </c>
      <c r="B11" s="3" t="s">
        <v>36</v>
      </c>
      <c r="C11" s="5" t="s">
        <v>44</v>
      </c>
      <c r="D11" s="5" t="s">
        <v>40</v>
      </c>
      <c r="E11" s="6" t="s">
        <v>41</v>
      </c>
      <c r="F11" s="7">
        <f>$R$11/12</f>
        <v>5833.333333333333</v>
      </c>
      <c r="G11" s="7">
        <f t="shared" ref="G11:Q11" si="4">$R$11/12</f>
        <v>5833.333333333333</v>
      </c>
      <c r="H11" s="7">
        <f t="shared" si="4"/>
        <v>5833.333333333333</v>
      </c>
      <c r="I11" s="7">
        <f t="shared" si="4"/>
        <v>5833.333333333333</v>
      </c>
      <c r="J11" s="7">
        <f t="shared" si="4"/>
        <v>5833.333333333333</v>
      </c>
      <c r="K11" s="7">
        <f t="shared" si="4"/>
        <v>5833.333333333333</v>
      </c>
      <c r="L11" s="7">
        <f t="shared" si="4"/>
        <v>5833.333333333333</v>
      </c>
      <c r="M11" s="7">
        <f t="shared" si="4"/>
        <v>5833.333333333333</v>
      </c>
      <c r="N11" s="7">
        <f t="shared" si="4"/>
        <v>5833.333333333333</v>
      </c>
      <c r="O11" s="7">
        <f t="shared" si="4"/>
        <v>5833.333333333333</v>
      </c>
      <c r="P11" s="7">
        <f t="shared" si="4"/>
        <v>5833.333333333333</v>
      </c>
      <c r="Q11" s="7">
        <f t="shared" si="4"/>
        <v>5833.333333333333</v>
      </c>
      <c r="R11" s="4">
        <v>70000</v>
      </c>
    </row>
    <row r="12" spans="1:18" x14ac:dyDescent="0.35">
      <c r="A12" s="3" t="s">
        <v>42</v>
      </c>
      <c r="B12" s="3" t="s">
        <v>36</v>
      </c>
      <c r="C12" s="5" t="s">
        <v>46</v>
      </c>
      <c r="D12" s="5" t="s">
        <v>47</v>
      </c>
      <c r="E12" s="6" t="s">
        <v>41</v>
      </c>
      <c r="F12" s="4">
        <f>220000+180000</f>
        <v>400000</v>
      </c>
      <c r="G12" s="4">
        <v>180000</v>
      </c>
      <c r="H12" s="4">
        <v>90000</v>
      </c>
      <c r="O12" s="4">
        <v>180000</v>
      </c>
      <c r="R12" s="7">
        <f>SUM(F12:Q12)</f>
        <v>850000</v>
      </c>
    </row>
    <row r="13" spans="1:18" ht="15" thickBot="1" x14ac:dyDescent="0.4">
      <c r="F13" s="8">
        <f>SUM(F2:F12)</f>
        <v>608666.66666666674</v>
      </c>
      <c r="G13" s="8">
        <f t="shared" ref="G13:R13" si="5">SUM(G2:G12)</f>
        <v>621696.66666666663</v>
      </c>
      <c r="H13" s="8">
        <f t="shared" si="5"/>
        <v>268666.66666666669</v>
      </c>
      <c r="I13" s="8">
        <f t="shared" si="5"/>
        <v>108666.66666666667</v>
      </c>
      <c r="J13" s="8">
        <f t="shared" si="5"/>
        <v>628536.66666666674</v>
      </c>
      <c r="K13" s="8">
        <f t="shared" si="5"/>
        <v>108666.66666666667</v>
      </c>
      <c r="L13" s="8">
        <f t="shared" si="5"/>
        <v>108666.66666666667</v>
      </c>
      <c r="M13" s="8">
        <f t="shared" si="5"/>
        <v>1441696.6666666665</v>
      </c>
      <c r="N13" s="8">
        <f t="shared" si="5"/>
        <v>108666.66666666667</v>
      </c>
      <c r="O13" s="8">
        <f t="shared" si="5"/>
        <v>393666.66666666669</v>
      </c>
      <c r="P13" s="8">
        <f t="shared" si="5"/>
        <v>883276.66666666674</v>
      </c>
      <c r="Q13" s="8">
        <f t="shared" si="5"/>
        <v>108666.66666666667</v>
      </c>
      <c r="R13" s="8">
        <f t="shared" si="5"/>
        <v>5389540</v>
      </c>
    </row>
    <row r="14" spans="1:18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CAPEX_Budget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BENJAWAN.W</dc:creator>
  <cp:lastModifiedBy>BENJAWAN.W</cp:lastModifiedBy>
  <dcterms:created xsi:type="dcterms:W3CDTF">2026-01-22T07:43:53Z</dcterms:created>
  <dcterms:modified xsi:type="dcterms:W3CDTF">2026-01-22T10:03:32Z</dcterms:modified>
</cp:coreProperties>
</file>